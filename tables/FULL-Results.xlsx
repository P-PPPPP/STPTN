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esktop\PTN\Tables\"/>
    </mc:Choice>
  </mc:AlternateContent>
  <xr:revisionPtr revIDLastSave="0" documentId="13_ncr:1_{81078B73-E2F3-4DDA-9D19-BD922CAF5E8D}" xr6:coauthVersionLast="47" xr6:coauthVersionMax="47" xr10:uidLastSave="{00000000-0000-0000-0000-000000000000}"/>
  <bookViews>
    <workbookView xWindow="96" yWindow="768" windowWidth="30624" windowHeight="16212" xr2:uid="{AD058B75-4578-4895-9E63-0BD9A0E09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6" i="1" l="1"/>
  <c r="K46" i="1"/>
  <c r="L31" i="1"/>
  <c r="K31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6" i="1"/>
  <c r="X16" i="1"/>
  <c r="L16" i="1"/>
  <c r="K16" i="1"/>
</calcChain>
</file>

<file path=xl/sharedStrings.xml><?xml version="1.0" encoding="utf-8"?>
<sst xmlns="http://schemas.openxmlformats.org/spreadsheetml/2006/main" count="140" uniqueCount="24">
  <si>
    <t>MAE</t>
    <phoneticPr fontId="1" type="noConversion"/>
  </si>
  <si>
    <t>MSE</t>
    <phoneticPr fontId="1" type="noConversion"/>
  </si>
  <si>
    <t>Model</t>
    <phoneticPr fontId="1" type="noConversion"/>
  </si>
  <si>
    <t>Avg</t>
  </si>
  <si>
    <t>ETTm1</t>
    <phoneticPr fontId="1" type="noConversion"/>
  </si>
  <si>
    <t>LSTM</t>
  </si>
  <si>
    <t>Weather</t>
    <phoneticPr fontId="1" type="noConversion"/>
  </si>
  <si>
    <t>LogTrans</t>
  </si>
  <si>
    <t>Reformer</t>
  </si>
  <si>
    <t>Autoformer</t>
  </si>
  <si>
    <t>Pyraformer</t>
  </si>
  <si>
    <t>Informer</t>
  </si>
  <si>
    <t>FEDformer</t>
  </si>
  <si>
    <t>Stationary</t>
  </si>
  <si>
    <t>ETSformer</t>
  </si>
  <si>
    <t>LightTS</t>
    <phoneticPr fontId="1" type="noConversion"/>
  </si>
  <si>
    <t>LSSL</t>
  </si>
  <si>
    <t>Dlinear</t>
    <phoneticPr fontId="1" type="noConversion"/>
  </si>
  <si>
    <t>TimesNet</t>
  </si>
  <si>
    <t>Ours</t>
    <phoneticPr fontId="1" type="noConversion"/>
  </si>
  <si>
    <t>Exchange</t>
    <phoneticPr fontId="1" type="noConversion"/>
  </si>
  <si>
    <t>\</t>
    <phoneticPr fontId="1" type="noConversion"/>
  </si>
  <si>
    <t>Electricity</t>
    <phoneticPr fontId="1" type="noConversion"/>
  </si>
  <si>
    <t>Traffic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</si>
</sst>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6B71-7E29-4082-B4CF-23C8F1B66634}">
  <dimension ref="A1:AO96"/>
  <sheetViews>
    <sheetView tabSelected="1" workbookViewId="0">
      <selection activeCell="S15" sqref="S15"/>
    </sheetView>
  </sheetViews>
  <sheetFormatPr defaultRowHeight="13.2" x14ac:dyDescent="0.25"/>
  <cols>
    <col min="1" max="1" width="8.88671875" style="2"/>
    <col min="2" max="2" width="12.77734375" style="2" customWidth="1"/>
    <col min="3" max="8" width="8.88671875" style="2"/>
    <col min="9" max="9" width="11" style="1" customWidth="1"/>
    <col min="10" max="10" width="8.88671875" style="2"/>
    <col min="11" max="11" width="8.88671875" style="1"/>
    <col min="12" max="14" width="8.88671875" style="2"/>
    <col min="15" max="15" width="12.6640625" style="2" customWidth="1"/>
    <col min="16" max="16384" width="8.88671875" style="2"/>
  </cols>
  <sheetData>
    <row r="1" spans="1:41" x14ac:dyDescent="0.25">
      <c r="B1" s="1"/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O1" s="1"/>
      <c r="P1" s="1" t="s">
        <v>0</v>
      </c>
      <c r="Q1" s="1" t="s">
        <v>1</v>
      </c>
      <c r="R1" s="1" t="s">
        <v>0</v>
      </c>
      <c r="S1" s="1" t="s">
        <v>1</v>
      </c>
      <c r="T1" s="1" t="s">
        <v>0</v>
      </c>
      <c r="U1" s="1" t="s">
        <v>1</v>
      </c>
      <c r="V1" s="1" t="s">
        <v>0</v>
      </c>
      <c r="W1" s="1" t="s">
        <v>1</v>
      </c>
      <c r="X1" s="1" t="s">
        <v>0</v>
      </c>
      <c r="Y1" s="1" t="s">
        <v>1</v>
      </c>
    </row>
    <row r="2" spans="1:41" x14ac:dyDescent="0.25">
      <c r="B2" s="1" t="s">
        <v>2</v>
      </c>
      <c r="C2" s="7">
        <v>96</v>
      </c>
      <c r="D2" s="7"/>
      <c r="E2" s="7">
        <v>192</v>
      </c>
      <c r="F2" s="7"/>
      <c r="G2" s="7">
        <v>336</v>
      </c>
      <c r="H2" s="7"/>
      <c r="I2" s="7">
        <v>720</v>
      </c>
      <c r="J2" s="7"/>
      <c r="K2" s="7" t="s">
        <v>3</v>
      </c>
      <c r="L2" s="7"/>
      <c r="O2" s="1" t="s">
        <v>2</v>
      </c>
      <c r="P2" s="7">
        <v>96</v>
      </c>
      <c r="Q2" s="7"/>
      <c r="R2" s="7">
        <v>192</v>
      </c>
      <c r="S2" s="7"/>
      <c r="T2" s="7">
        <v>336</v>
      </c>
      <c r="U2" s="7"/>
      <c r="V2" s="7">
        <v>720</v>
      </c>
      <c r="W2" s="7"/>
      <c r="X2" s="7" t="s">
        <v>3</v>
      </c>
      <c r="Y2" s="7"/>
    </row>
    <row r="3" spans="1:41" x14ac:dyDescent="0.25">
      <c r="A3" s="6" t="s">
        <v>4</v>
      </c>
      <c r="B3" s="1" t="s">
        <v>5</v>
      </c>
      <c r="C3" s="3">
        <v>0.66400000000000003</v>
      </c>
      <c r="D3" s="3">
        <v>0.86299999999999999</v>
      </c>
      <c r="E3" s="3">
        <v>0.77600000000000002</v>
      </c>
      <c r="F3" s="3">
        <v>1.113</v>
      </c>
      <c r="G3" s="3">
        <v>0.83199999999999996</v>
      </c>
      <c r="H3" s="3">
        <v>1.2669999999999999</v>
      </c>
      <c r="I3" s="3">
        <v>0.85799999999999998</v>
      </c>
      <c r="J3" s="3">
        <v>1.3240000000000001</v>
      </c>
      <c r="K3" s="3">
        <v>0.78200000000000003</v>
      </c>
      <c r="L3" s="3">
        <v>1.1419999999999999</v>
      </c>
      <c r="N3" s="6" t="s">
        <v>6</v>
      </c>
      <c r="O3" s="1" t="s">
        <v>5</v>
      </c>
      <c r="P3" s="3">
        <v>0.40600000000000003</v>
      </c>
      <c r="Q3" s="3">
        <v>0.36899999999999999</v>
      </c>
      <c r="R3" s="3">
        <v>0.435</v>
      </c>
      <c r="S3" s="3">
        <v>0.41599999999999998</v>
      </c>
      <c r="T3" s="3">
        <v>0.45400000000000001</v>
      </c>
      <c r="U3" s="3">
        <v>0.45500000000000002</v>
      </c>
      <c r="V3" s="3">
        <v>0.52</v>
      </c>
      <c r="W3" s="3">
        <v>0.53500000000000003</v>
      </c>
      <c r="X3" s="3">
        <v>0.45400000000000001</v>
      </c>
      <c r="Y3" s="3">
        <v>0.44400000000000001</v>
      </c>
      <c r="AN3" s="1" t="s">
        <v>5</v>
      </c>
      <c r="AO3" s="1">
        <v>1997</v>
      </c>
    </row>
    <row r="4" spans="1:41" x14ac:dyDescent="0.25">
      <c r="A4" s="6"/>
      <c r="B4" s="1" t="s">
        <v>7</v>
      </c>
      <c r="C4" s="3">
        <v>0.54600000000000004</v>
      </c>
      <c r="D4" s="3">
        <v>0.6</v>
      </c>
      <c r="E4" s="3">
        <v>0.7</v>
      </c>
      <c r="F4" s="3">
        <v>0.83699999999999997</v>
      </c>
      <c r="G4" s="3">
        <v>0.83199999999999996</v>
      </c>
      <c r="H4" s="3">
        <v>1.1240000000000001</v>
      </c>
      <c r="I4" s="3">
        <v>0.82</v>
      </c>
      <c r="J4" s="3">
        <v>1.153</v>
      </c>
      <c r="K4" s="3">
        <v>0.72499999999999998</v>
      </c>
      <c r="L4" s="3">
        <v>0.92900000000000005</v>
      </c>
      <c r="N4" s="6"/>
      <c r="O4" s="1" t="s">
        <v>7</v>
      </c>
      <c r="P4" s="3">
        <v>0.49</v>
      </c>
      <c r="Q4" s="3">
        <v>0.45800000000000002</v>
      </c>
      <c r="R4" s="3">
        <v>0.58899999999999997</v>
      </c>
      <c r="S4" s="3">
        <v>0.65800000000000003</v>
      </c>
      <c r="T4" s="3">
        <v>0.65200000000000002</v>
      </c>
      <c r="U4" s="3">
        <v>0.79700000000000004</v>
      </c>
      <c r="V4" s="3">
        <v>0.67500000000000004</v>
      </c>
      <c r="W4" s="3">
        <v>0.86899999999999999</v>
      </c>
      <c r="X4" s="3">
        <v>0.60199999999999998</v>
      </c>
      <c r="Y4" s="3">
        <v>0.69599999999999995</v>
      </c>
      <c r="AN4" s="1" t="s">
        <v>7</v>
      </c>
      <c r="AO4" s="1">
        <v>2019</v>
      </c>
    </row>
    <row r="5" spans="1:41" x14ac:dyDescent="0.25">
      <c r="A5" s="6"/>
      <c r="B5" s="1" t="s">
        <v>8</v>
      </c>
      <c r="C5" s="3">
        <v>0.52800000000000002</v>
      </c>
      <c r="D5" s="3">
        <v>0.53800000000000003</v>
      </c>
      <c r="E5" s="3">
        <v>0.59199999999999997</v>
      </c>
      <c r="F5" s="3">
        <v>0.65800000000000003</v>
      </c>
      <c r="G5" s="3">
        <v>0.72099999999999997</v>
      </c>
      <c r="H5" s="3">
        <v>0.89800000000000002</v>
      </c>
      <c r="I5" s="3">
        <v>0.84099999999999997</v>
      </c>
      <c r="J5" s="3">
        <v>1.1020000000000001</v>
      </c>
      <c r="K5" s="3">
        <v>0.67100000000000004</v>
      </c>
      <c r="L5" s="3">
        <v>0.79900000000000004</v>
      </c>
      <c r="N5" s="6"/>
      <c r="O5" s="1" t="s">
        <v>8</v>
      </c>
      <c r="P5" s="3">
        <v>0.59599999999999997</v>
      </c>
      <c r="Q5" s="3">
        <v>0.68899999999999995</v>
      </c>
      <c r="R5" s="3">
        <v>0.63800000000000001</v>
      </c>
      <c r="S5" s="3">
        <v>0.752</v>
      </c>
      <c r="T5" s="3">
        <v>0.59599999999999997</v>
      </c>
      <c r="U5" s="3">
        <v>0.63900000000000001</v>
      </c>
      <c r="V5" s="3">
        <v>0.79200000000000004</v>
      </c>
      <c r="W5" s="3">
        <v>1.1299999999999999</v>
      </c>
      <c r="X5" s="3">
        <v>0.65600000000000003</v>
      </c>
      <c r="Y5" s="3">
        <v>0.80300000000000005</v>
      </c>
      <c r="AN5" s="1" t="s">
        <v>8</v>
      </c>
      <c r="AO5" s="1">
        <v>2020</v>
      </c>
    </row>
    <row r="6" spans="1:41" x14ac:dyDescent="0.25">
      <c r="A6" s="6"/>
      <c r="B6" s="1" t="s">
        <v>9</v>
      </c>
      <c r="C6" s="3">
        <v>0.47499999999999998</v>
      </c>
      <c r="D6" s="3">
        <v>0.505</v>
      </c>
      <c r="E6" s="3">
        <v>0.496</v>
      </c>
      <c r="F6" s="3">
        <v>0.55300000000000005</v>
      </c>
      <c r="G6" s="3">
        <v>0.53700000000000003</v>
      </c>
      <c r="H6" s="3">
        <v>0.621</v>
      </c>
      <c r="I6" s="3">
        <v>0.56100000000000005</v>
      </c>
      <c r="J6" s="3">
        <v>0.67100000000000004</v>
      </c>
      <c r="K6" s="3">
        <v>0.51700000000000002</v>
      </c>
      <c r="L6" s="3">
        <v>0.58799999999999997</v>
      </c>
      <c r="N6" s="6"/>
      <c r="O6" s="1" t="s">
        <v>9</v>
      </c>
      <c r="P6" s="3">
        <v>0.33600000000000002</v>
      </c>
      <c r="Q6" s="3">
        <v>0.26600000000000001</v>
      </c>
      <c r="R6" s="3">
        <v>0.36699999999999999</v>
      </c>
      <c r="S6" s="3">
        <v>0.307</v>
      </c>
      <c r="T6" s="3">
        <v>0.39500000000000002</v>
      </c>
      <c r="U6" s="3">
        <v>0.35899999999999999</v>
      </c>
      <c r="V6" s="3">
        <v>0.42799999999999999</v>
      </c>
      <c r="W6" s="3">
        <v>0.41899999999999998</v>
      </c>
      <c r="X6" s="3">
        <v>0.38200000000000001</v>
      </c>
      <c r="Y6" s="3">
        <v>0.33800000000000002</v>
      </c>
      <c r="AN6" s="1" t="s">
        <v>9</v>
      </c>
      <c r="AO6" s="1">
        <v>2021</v>
      </c>
    </row>
    <row r="7" spans="1:41" x14ac:dyDescent="0.25">
      <c r="A7" s="6"/>
      <c r="B7" s="1" t="s">
        <v>10</v>
      </c>
      <c r="C7" s="3">
        <v>0.51</v>
      </c>
      <c r="D7" s="3">
        <v>0.54300000000000004</v>
      </c>
      <c r="E7" s="3">
        <v>0.53700000000000003</v>
      </c>
      <c r="F7" s="3">
        <v>0.55700000000000005</v>
      </c>
      <c r="G7" s="3">
        <v>0.65500000000000003</v>
      </c>
      <c r="H7" s="3">
        <v>0.754</v>
      </c>
      <c r="I7" s="3">
        <v>0.72399999999999998</v>
      </c>
      <c r="J7" s="3">
        <v>0.90800000000000003</v>
      </c>
      <c r="K7" s="3">
        <v>0.60699999999999998</v>
      </c>
      <c r="L7" s="3">
        <v>0.69099999999999995</v>
      </c>
      <c r="N7" s="6"/>
      <c r="O7" s="1" t="s">
        <v>10</v>
      </c>
      <c r="P7" s="3">
        <v>0.55600000000000005</v>
      </c>
      <c r="Q7" s="3">
        <v>0.622</v>
      </c>
      <c r="R7" s="3">
        <v>0.624</v>
      </c>
      <c r="S7" s="3">
        <v>0.73899999999999999</v>
      </c>
      <c r="T7" s="3">
        <v>0.753</v>
      </c>
      <c r="U7" s="3">
        <v>1.004</v>
      </c>
      <c r="V7" s="3">
        <v>0.93400000000000005</v>
      </c>
      <c r="W7" s="3">
        <v>1.42</v>
      </c>
      <c r="X7" s="3">
        <v>0.71699999999999997</v>
      </c>
      <c r="Y7" s="3">
        <v>0.94599999999999995</v>
      </c>
      <c r="AN7" s="1" t="s">
        <v>10</v>
      </c>
      <c r="AO7" s="1">
        <v>2021</v>
      </c>
    </row>
    <row r="8" spans="1:41" x14ac:dyDescent="0.25">
      <c r="A8" s="6"/>
      <c r="B8" s="1" t="s">
        <v>11</v>
      </c>
      <c r="C8" s="3">
        <v>0.57099999999999995</v>
      </c>
      <c r="D8" s="3">
        <v>0.67200000000000004</v>
      </c>
      <c r="E8" s="3">
        <v>0.66900000000000004</v>
      </c>
      <c r="F8" s="3">
        <v>0.79500000000000004</v>
      </c>
      <c r="G8" s="3">
        <v>0.871</v>
      </c>
      <c r="H8" s="3">
        <v>1.212</v>
      </c>
      <c r="I8" s="3">
        <v>0.82299999999999995</v>
      </c>
      <c r="J8" s="3">
        <v>1.1659999999999999</v>
      </c>
      <c r="K8" s="3">
        <v>0.73399999999999999</v>
      </c>
      <c r="L8" s="3">
        <v>0.96099999999999997</v>
      </c>
      <c r="N8" s="6"/>
      <c r="O8" s="1" t="s">
        <v>11</v>
      </c>
      <c r="P8" s="3">
        <v>0.38400000000000001</v>
      </c>
      <c r="Q8" s="3">
        <v>0.3</v>
      </c>
      <c r="R8" s="3">
        <v>0.54400000000000004</v>
      </c>
      <c r="S8" s="3">
        <v>0.59799999999999998</v>
      </c>
      <c r="T8" s="3">
        <v>0.52300000000000002</v>
      </c>
      <c r="U8" s="3">
        <v>0.57799999999999996</v>
      </c>
      <c r="V8" s="3">
        <v>0.74099999999999999</v>
      </c>
      <c r="W8" s="3">
        <v>1.0589999999999999</v>
      </c>
      <c r="X8" s="3">
        <v>0.54800000000000004</v>
      </c>
      <c r="Y8" s="3">
        <v>0.63400000000000001</v>
      </c>
      <c r="AN8" s="1" t="s">
        <v>11</v>
      </c>
      <c r="AO8" s="1">
        <v>2021</v>
      </c>
    </row>
    <row r="9" spans="1:41" x14ac:dyDescent="0.25">
      <c r="A9" s="6"/>
      <c r="B9" s="1" t="s">
        <v>12</v>
      </c>
      <c r="C9" s="3">
        <v>0.41899999999999998</v>
      </c>
      <c r="D9" s="3">
        <v>0.379</v>
      </c>
      <c r="E9" s="3">
        <v>0.441</v>
      </c>
      <c r="F9" s="3">
        <v>0.42599999999999999</v>
      </c>
      <c r="G9" s="3">
        <v>0.45900000000000002</v>
      </c>
      <c r="H9" s="3">
        <v>0.44500000000000001</v>
      </c>
      <c r="I9" s="3">
        <v>0.49</v>
      </c>
      <c r="J9" s="3">
        <v>0.54300000000000004</v>
      </c>
      <c r="K9" s="3">
        <v>0.45200000000000001</v>
      </c>
      <c r="L9" s="3">
        <v>0.44800000000000001</v>
      </c>
      <c r="N9" s="6"/>
      <c r="O9" s="1" t="s">
        <v>12</v>
      </c>
      <c r="P9" s="3">
        <v>0.29599999999999999</v>
      </c>
      <c r="Q9" s="3">
        <v>0.217</v>
      </c>
      <c r="R9" s="3">
        <v>0.33600000000000002</v>
      </c>
      <c r="S9" s="3">
        <v>0.27600000000000002</v>
      </c>
      <c r="T9" s="3">
        <v>0.38</v>
      </c>
      <c r="U9" s="3">
        <v>0.33900000000000002</v>
      </c>
      <c r="V9" s="3">
        <v>0.42799999999999999</v>
      </c>
      <c r="W9" s="3">
        <v>0.40300000000000002</v>
      </c>
      <c r="X9" s="3">
        <v>0.36</v>
      </c>
      <c r="Y9" s="3">
        <v>0.309</v>
      </c>
      <c r="AN9" s="1" t="s">
        <v>12</v>
      </c>
      <c r="AO9" s="1">
        <v>2022</v>
      </c>
    </row>
    <row r="10" spans="1:41" x14ac:dyDescent="0.25">
      <c r="A10" s="6"/>
      <c r="B10" s="1" t="s">
        <v>13</v>
      </c>
      <c r="C10" s="3">
        <v>0.39800000000000002</v>
      </c>
      <c r="D10" s="3">
        <v>0.38600000000000001</v>
      </c>
      <c r="E10" s="3">
        <v>0.44400000000000001</v>
      </c>
      <c r="F10" s="3">
        <v>0.45900000000000002</v>
      </c>
      <c r="G10" s="3">
        <v>0.46400000000000002</v>
      </c>
      <c r="H10" s="3">
        <v>0.495</v>
      </c>
      <c r="I10" s="3">
        <v>0.51600000000000001</v>
      </c>
      <c r="J10" s="3">
        <v>0.58499999999999996</v>
      </c>
      <c r="K10" s="3">
        <v>0.45600000000000002</v>
      </c>
      <c r="L10" s="3">
        <v>0.48099999999999998</v>
      </c>
      <c r="N10" s="6"/>
      <c r="O10" s="1" t="s">
        <v>13</v>
      </c>
      <c r="P10" s="3">
        <v>0.223</v>
      </c>
      <c r="Q10" s="3">
        <v>0.17299999999999999</v>
      </c>
      <c r="R10" s="3">
        <v>0.28499999999999998</v>
      </c>
      <c r="S10" s="3">
        <v>0.245</v>
      </c>
      <c r="T10" s="3">
        <v>0.33800000000000002</v>
      </c>
      <c r="U10" s="3">
        <v>0.32100000000000001</v>
      </c>
      <c r="V10" s="3">
        <v>0.41</v>
      </c>
      <c r="W10" s="3">
        <v>0.41399999999999998</v>
      </c>
      <c r="X10" s="3">
        <v>0.314</v>
      </c>
      <c r="Y10" s="3">
        <v>0.28799999999999998</v>
      </c>
      <c r="AN10" s="1" t="s">
        <v>13</v>
      </c>
      <c r="AO10" s="1">
        <v>2022</v>
      </c>
    </row>
    <row r="11" spans="1:41" x14ac:dyDescent="0.25">
      <c r="A11" s="6"/>
      <c r="B11" s="1" t="s">
        <v>14</v>
      </c>
      <c r="C11" s="3">
        <v>0.39800000000000002</v>
      </c>
      <c r="D11" s="3">
        <v>0.375</v>
      </c>
      <c r="E11" s="3">
        <v>0.41</v>
      </c>
      <c r="F11" s="3">
        <v>0.40799999999999997</v>
      </c>
      <c r="G11" s="3">
        <v>0.42799999999999999</v>
      </c>
      <c r="H11" s="3">
        <v>0.435</v>
      </c>
      <c r="I11" s="3">
        <v>0.46200000000000002</v>
      </c>
      <c r="J11" s="3">
        <v>0.499</v>
      </c>
      <c r="K11" s="3">
        <v>0.42499999999999999</v>
      </c>
      <c r="L11" s="3">
        <v>0.42899999999999999</v>
      </c>
      <c r="N11" s="6"/>
      <c r="O11" s="1" t="s">
        <v>14</v>
      </c>
      <c r="P11" s="3">
        <v>0.28100000000000003</v>
      </c>
      <c r="Q11" s="3">
        <v>0.19700000000000001</v>
      </c>
      <c r="R11" s="3">
        <v>0.312</v>
      </c>
      <c r="S11" s="3">
        <v>0.23699999999999999</v>
      </c>
      <c r="T11" s="3">
        <v>0.35299999999999998</v>
      </c>
      <c r="U11" s="3">
        <v>0.29799999999999999</v>
      </c>
      <c r="V11" s="3">
        <v>0.28799999999999998</v>
      </c>
      <c r="W11" s="3">
        <v>0.35199999999999998</v>
      </c>
      <c r="X11" s="3">
        <v>0.33400000000000002</v>
      </c>
      <c r="Y11" s="3">
        <v>0.27100000000000002</v>
      </c>
      <c r="AN11" s="1" t="s">
        <v>14</v>
      </c>
      <c r="AO11" s="1">
        <v>2022</v>
      </c>
    </row>
    <row r="12" spans="1:41" x14ac:dyDescent="0.25">
      <c r="A12" s="6"/>
      <c r="B12" s="1" t="s">
        <v>15</v>
      </c>
      <c r="C12" s="3">
        <v>0.4</v>
      </c>
      <c r="D12" s="3">
        <v>0.374</v>
      </c>
      <c r="E12" s="3">
        <v>0.40699999999999997</v>
      </c>
      <c r="F12" s="3">
        <v>0.4</v>
      </c>
      <c r="G12" s="3">
        <v>0.438</v>
      </c>
      <c r="H12" s="3">
        <v>0.438</v>
      </c>
      <c r="I12" s="3">
        <v>0.502</v>
      </c>
      <c r="J12" s="3">
        <v>0.52700000000000002</v>
      </c>
      <c r="K12" s="3">
        <v>0.437</v>
      </c>
      <c r="L12" s="3">
        <v>0.435</v>
      </c>
      <c r="N12" s="6"/>
      <c r="O12" s="1" t="s">
        <v>15</v>
      </c>
      <c r="P12" s="3">
        <v>0.24199999999999999</v>
      </c>
      <c r="Q12" s="3">
        <v>0.182</v>
      </c>
      <c r="R12" s="3">
        <v>0.28699999999999998</v>
      </c>
      <c r="S12" s="3">
        <v>0.22700000000000001</v>
      </c>
      <c r="T12" s="3">
        <v>0.33400000000000002</v>
      </c>
      <c r="U12" s="3">
        <v>0.28199999999999997</v>
      </c>
      <c r="V12" s="3">
        <v>0.38600000000000001</v>
      </c>
      <c r="W12" s="3">
        <v>0.35199999999999998</v>
      </c>
      <c r="X12" s="3">
        <v>0.312</v>
      </c>
      <c r="Y12" s="3">
        <v>0.26100000000000001</v>
      </c>
      <c r="AN12" s="1" t="s">
        <v>15</v>
      </c>
      <c r="AO12" s="1">
        <v>2022</v>
      </c>
    </row>
    <row r="13" spans="1:41" x14ac:dyDescent="0.25">
      <c r="A13" s="6"/>
      <c r="B13" s="1" t="s">
        <v>16</v>
      </c>
      <c r="C13" s="3">
        <v>0.47699999999999998</v>
      </c>
      <c r="D13" s="3">
        <v>0.45</v>
      </c>
      <c r="E13" s="3">
        <v>0.48099999999999998</v>
      </c>
      <c r="F13" s="3">
        <v>0.46899999999999997</v>
      </c>
      <c r="G13" s="3">
        <v>0.57399999999999995</v>
      </c>
      <c r="H13" s="3">
        <v>0.58299999999999996</v>
      </c>
      <c r="I13" s="3">
        <v>0.59599999999999997</v>
      </c>
      <c r="J13" s="3">
        <v>0.63200000000000001</v>
      </c>
      <c r="K13" s="3">
        <v>0.53200000000000003</v>
      </c>
      <c r="L13" s="3">
        <v>0.53300000000000003</v>
      </c>
      <c r="N13" s="6"/>
      <c r="O13" s="1" t="s">
        <v>16</v>
      </c>
      <c r="P13" s="3">
        <v>0.252</v>
      </c>
      <c r="Q13" s="3">
        <v>0.17399999999999999</v>
      </c>
      <c r="R13" s="3">
        <v>0.313</v>
      </c>
      <c r="S13" s="3">
        <v>0.23799999999999999</v>
      </c>
      <c r="T13" s="3">
        <v>0.35499999999999998</v>
      </c>
      <c r="U13" s="3">
        <v>0.28699999999999998</v>
      </c>
      <c r="V13" s="3">
        <v>0.41499999999999998</v>
      </c>
      <c r="W13" s="3">
        <v>0.38400000000000001</v>
      </c>
      <c r="X13" s="3">
        <v>0.33400000000000002</v>
      </c>
      <c r="Y13" s="3">
        <v>0.27100000000000002</v>
      </c>
      <c r="AN13" s="1" t="s">
        <v>16</v>
      </c>
      <c r="AO13" s="1">
        <v>2022</v>
      </c>
    </row>
    <row r="14" spans="1:41" x14ac:dyDescent="0.25">
      <c r="A14" s="6"/>
      <c r="B14" s="1" t="s">
        <v>17</v>
      </c>
      <c r="C14" s="3">
        <v>0.372</v>
      </c>
      <c r="D14" s="3">
        <v>0.34499999999999997</v>
      </c>
      <c r="E14" s="3">
        <v>0.38900000000000001</v>
      </c>
      <c r="F14" s="3">
        <v>0.38</v>
      </c>
      <c r="G14" s="3">
        <v>0.41299999999999998</v>
      </c>
      <c r="H14" s="3">
        <v>0.41299999999999998</v>
      </c>
      <c r="I14" s="3">
        <v>0.45300000000000001</v>
      </c>
      <c r="J14" s="3">
        <v>0.47399999999999998</v>
      </c>
      <c r="K14" s="3">
        <v>0.40699999999999997</v>
      </c>
      <c r="L14" s="3">
        <v>0.40300000000000002</v>
      </c>
      <c r="N14" s="6"/>
      <c r="O14" s="1" t="s">
        <v>17</v>
      </c>
      <c r="P14" s="3">
        <v>0.255</v>
      </c>
      <c r="Q14" s="3">
        <v>0.19600000000000001</v>
      </c>
      <c r="R14" s="3">
        <v>0.29599999999999999</v>
      </c>
      <c r="S14" s="3">
        <v>0.23699999999999999</v>
      </c>
      <c r="T14" s="3">
        <v>0.33500000000000002</v>
      </c>
      <c r="U14" s="3">
        <v>0.28299999999999997</v>
      </c>
      <c r="V14" s="3">
        <v>0.38100000000000001</v>
      </c>
      <c r="W14" s="3">
        <v>0.34499999999999997</v>
      </c>
      <c r="X14" s="3">
        <v>0.317</v>
      </c>
      <c r="Y14" s="3">
        <v>0.26500000000000001</v>
      </c>
      <c r="AN14" s="1" t="s">
        <v>17</v>
      </c>
      <c r="AO14" s="1">
        <v>2023</v>
      </c>
    </row>
    <row r="15" spans="1:41" x14ac:dyDescent="0.25">
      <c r="A15" s="6"/>
      <c r="B15" s="1" t="s">
        <v>18</v>
      </c>
      <c r="C15" s="3">
        <v>0.375</v>
      </c>
      <c r="D15" s="3">
        <v>0.33800000000000002</v>
      </c>
      <c r="E15" s="3">
        <v>0.38700000000000001</v>
      </c>
      <c r="F15" s="3">
        <v>0.374</v>
      </c>
      <c r="G15" s="3">
        <v>0.41099999999999998</v>
      </c>
      <c r="H15" s="3">
        <v>0.41</v>
      </c>
      <c r="I15" s="3">
        <v>0.45</v>
      </c>
      <c r="J15" s="3">
        <v>0.47799999999999998</v>
      </c>
      <c r="K15" s="3">
        <v>0.40600000000000003</v>
      </c>
      <c r="L15" s="3">
        <v>0.4</v>
      </c>
      <c r="N15" s="6"/>
      <c r="O15" s="1" t="s">
        <v>18</v>
      </c>
      <c r="P15" s="3">
        <v>0.22</v>
      </c>
      <c r="Q15" s="3">
        <v>0.17199999999999999</v>
      </c>
      <c r="R15" s="3">
        <v>0.26100000000000001</v>
      </c>
      <c r="S15" s="3">
        <v>0.219</v>
      </c>
      <c r="T15" s="3">
        <v>0.30599999999999999</v>
      </c>
      <c r="U15" s="3">
        <v>0.28000000000000003</v>
      </c>
      <c r="V15" s="3">
        <v>0.35899999999999999</v>
      </c>
      <c r="W15" s="3">
        <v>0.36499999999999999</v>
      </c>
      <c r="X15" s="3">
        <v>0.28699999999999998</v>
      </c>
      <c r="Y15" s="3">
        <v>0.25900000000000001</v>
      </c>
      <c r="AN15" s="1" t="s">
        <v>18</v>
      </c>
      <c r="AO15" s="1">
        <v>2023</v>
      </c>
    </row>
    <row r="16" spans="1:41" x14ac:dyDescent="0.25">
      <c r="A16" s="6"/>
      <c r="B16" s="1" t="s">
        <v>19</v>
      </c>
      <c r="C16" s="4">
        <v>0.35043999999999997</v>
      </c>
      <c r="D16" s="4">
        <v>0.32768000000000003</v>
      </c>
      <c r="E16" s="4">
        <v>0.37548999999999999</v>
      </c>
      <c r="F16" s="5">
        <v>0.37587999999999999</v>
      </c>
      <c r="G16" s="4">
        <v>0.40239000000000003</v>
      </c>
      <c r="H16" s="4">
        <v>0.40731000000000001</v>
      </c>
      <c r="I16" s="4">
        <v>0.44445000000000001</v>
      </c>
      <c r="J16" s="4">
        <v>0.47028999999999999</v>
      </c>
      <c r="K16" s="4">
        <f>AVERAGE(C16,E16,G16,I16)</f>
        <v>0.3931925</v>
      </c>
      <c r="L16" s="4">
        <f>AVERAGE(D16,F16,H16,J16)</f>
        <v>0.39529000000000003</v>
      </c>
      <c r="N16" s="6"/>
      <c r="O16" s="1" t="s">
        <v>19</v>
      </c>
      <c r="P16" s="4">
        <v>0.19894000000000001</v>
      </c>
      <c r="Q16" s="4">
        <v>0.15279000000000001</v>
      </c>
      <c r="R16" s="4">
        <v>0.24288999999999999</v>
      </c>
      <c r="S16" s="4">
        <v>0.19807</v>
      </c>
      <c r="T16" s="4">
        <v>0.29072999999999999</v>
      </c>
      <c r="U16" s="4">
        <v>0.249</v>
      </c>
      <c r="V16" s="4">
        <v>0.34208</v>
      </c>
      <c r="W16" s="4">
        <v>0.31905</v>
      </c>
      <c r="X16" s="4">
        <f>AVERAGE(P16,R16,T16,V16)</f>
        <v>0.26866000000000001</v>
      </c>
      <c r="Y16" s="4">
        <f>AVERAGE(Q16,S16,U16,W16)</f>
        <v>0.22972750000000003</v>
      </c>
    </row>
    <row r="18" spans="1:25" x14ac:dyDescent="0.25">
      <c r="A18" s="6" t="s">
        <v>22</v>
      </c>
      <c r="B18" s="1" t="s">
        <v>5</v>
      </c>
      <c r="C18" s="3">
        <v>0.437</v>
      </c>
      <c r="D18" s="3">
        <v>0.375</v>
      </c>
      <c r="E18" s="3">
        <v>0.47299999999999998</v>
      </c>
      <c r="F18" s="3">
        <v>0.442</v>
      </c>
      <c r="G18" s="3">
        <v>0.47299999999999998</v>
      </c>
      <c r="H18" s="3">
        <v>0.439</v>
      </c>
      <c r="I18" s="3">
        <v>0.81399999999999995</v>
      </c>
      <c r="J18" s="3">
        <v>0.98</v>
      </c>
      <c r="K18" s="3">
        <v>0.54900000000000004</v>
      </c>
      <c r="L18" s="3">
        <v>0.55900000000000005</v>
      </c>
      <c r="N18" s="6" t="s">
        <v>20</v>
      </c>
      <c r="O18" s="1" t="s">
        <v>5</v>
      </c>
      <c r="P18" s="3">
        <v>1.0489999999999999</v>
      </c>
      <c r="Q18" s="3">
        <v>1.4530000000000001</v>
      </c>
      <c r="R18" s="3">
        <v>1.179</v>
      </c>
      <c r="S18" s="3">
        <v>1.8460000000000001</v>
      </c>
      <c r="T18" s="3">
        <v>1.2310000000000001</v>
      </c>
      <c r="U18" s="3">
        <v>2.1360000000000001</v>
      </c>
      <c r="V18" s="3" t="s">
        <v>21</v>
      </c>
      <c r="W18" s="3" t="s">
        <v>21</v>
      </c>
      <c r="X18" s="3">
        <f t="shared" ref="X18:Y30" si="0">AVERAGE(P18,R18,T18)</f>
        <v>1.1529999999999998</v>
      </c>
      <c r="Y18" s="3">
        <f t="shared" si="0"/>
        <v>1.8116666666666668</v>
      </c>
    </row>
    <row r="19" spans="1:25" x14ac:dyDescent="0.25">
      <c r="A19" s="6"/>
      <c r="B19" s="1" t="s">
        <v>7</v>
      </c>
      <c r="C19" s="3">
        <v>0.35699999999999998</v>
      </c>
      <c r="D19" s="3">
        <v>0.25800000000000001</v>
      </c>
      <c r="E19" s="3">
        <v>0.36799999999999999</v>
      </c>
      <c r="F19" s="3">
        <v>0.26600000000000001</v>
      </c>
      <c r="G19" s="3">
        <v>0.38</v>
      </c>
      <c r="H19" s="3">
        <v>0.28000000000000003</v>
      </c>
      <c r="I19" s="3">
        <v>0.376</v>
      </c>
      <c r="J19" s="3">
        <v>0.28299999999999997</v>
      </c>
      <c r="K19" s="3">
        <v>0.37</v>
      </c>
      <c r="L19" s="3">
        <v>0.27200000000000002</v>
      </c>
      <c r="N19" s="6"/>
      <c r="O19" s="1" t="s">
        <v>7</v>
      </c>
      <c r="P19" s="3">
        <v>0.81200000000000006</v>
      </c>
      <c r="Q19" s="3">
        <v>0.96799999999999997</v>
      </c>
      <c r="R19" s="3">
        <v>0.85099999999999998</v>
      </c>
      <c r="S19" s="3">
        <v>1.04</v>
      </c>
      <c r="T19" s="3">
        <v>1.081</v>
      </c>
      <c r="U19" s="3">
        <v>1.659</v>
      </c>
      <c r="V19" s="3" t="s">
        <v>21</v>
      </c>
      <c r="W19" s="3" t="s">
        <v>21</v>
      </c>
      <c r="X19" s="3">
        <f t="shared" si="0"/>
        <v>0.91466666666666663</v>
      </c>
      <c r="Y19" s="3">
        <f t="shared" si="0"/>
        <v>1.2223333333333333</v>
      </c>
    </row>
    <row r="20" spans="1:25" x14ac:dyDescent="0.25">
      <c r="A20" s="6"/>
      <c r="B20" s="1" t="s">
        <v>8</v>
      </c>
      <c r="C20" s="3">
        <v>0.40200000000000002</v>
      </c>
      <c r="D20" s="3">
        <v>0.312</v>
      </c>
      <c r="E20" s="3">
        <v>0.433</v>
      </c>
      <c r="F20" s="3">
        <v>0.34799999999999998</v>
      </c>
      <c r="G20" s="3">
        <v>0.433</v>
      </c>
      <c r="H20" s="3">
        <v>0.35</v>
      </c>
      <c r="I20" s="3">
        <v>0.42</v>
      </c>
      <c r="J20" s="3">
        <v>0.34</v>
      </c>
      <c r="K20" s="3">
        <v>0.42199999999999999</v>
      </c>
      <c r="L20" s="3">
        <v>0.33800000000000002</v>
      </c>
      <c r="N20" s="6"/>
      <c r="O20" s="1" t="s">
        <v>8</v>
      </c>
      <c r="P20" s="3">
        <v>0.82899999999999996</v>
      </c>
      <c r="Q20" s="3">
        <v>1.0649999999999999</v>
      </c>
      <c r="R20" s="3">
        <v>0.90600000000000003</v>
      </c>
      <c r="S20" s="3">
        <v>1.1879999999999999</v>
      </c>
      <c r="T20" s="3">
        <v>0.97599999999999998</v>
      </c>
      <c r="U20" s="3">
        <v>1.357</v>
      </c>
      <c r="V20" s="3" t="s">
        <v>21</v>
      </c>
      <c r="W20" s="3" t="s">
        <v>21</v>
      </c>
      <c r="X20" s="3">
        <f t="shared" si="0"/>
        <v>0.90366666666666662</v>
      </c>
      <c r="Y20" s="3">
        <f t="shared" si="0"/>
        <v>1.2033333333333334</v>
      </c>
    </row>
    <row r="21" spans="1:25" x14ac:dyDescent="0.25">
      <c r="A21" s="6"/>
      <c r="B21" s="1" t="s">
        <v>9</v>
      </c>
      <c r="C21" s="3">
        <v>0.317</v>
      </c>
      <c r="D21" s="3">
        <v>0.20100000000000001</v>
      </c>
      <c r="E21" s="3">
        <v>0.33400000000000002</v>
      </c>
      <c r="F21" s="3">
        <v>0.222</v>
      </c>
      <c r="G21" s="3">
        <v>0.33800000000000002</v>
      </c>
      <c r="H21" s="3">
        <v>0.23100000000000001</v>
      </c>
      <c r="I21" s="3">
        <v>0.36099999999999999</v>
      </c>
      <c r="J21" s="3">
        <v>0.254</v>
      </c>
      <c r="K21" s="3">
        <v>0.33800000000000002</v>
      </c>
      <c r="L21" s="3">
        <v>0.22700000000000001</v>
      </c>
      <c r="N21" s="6"/>
      <c r="O21" s="1" t="s">
        <v>9</v>
      </c>
      <c r="P21" s="3">
        <v>0.32300000000000001</v>
      </c>
      <c r="Q21" s="3">
        <v>0.19700000000000001</v>
      </c>
      <c r="R21" s="3">
        <v>0.36899999999999999</v>
      </c>
      <c r="S21" s="3">
        <v>0.3</v>
      </c>
      <c r="T21" s="3">
        <v>0.52400000000000002</v>
      </c>
      <c r="U21" s="3">
        <v>0.50900000000000001</v>
      </c>
      <c r="V21" s="3" t="s">
        <v>21</v>
      </c>
      <c r="W21" s="3" t="s">
        <v>21</v>
      </c>
      <c r="X21" s="3">
        <f t="shared" si="0"/>
        <v>0.40533333333333332</v>
      </c>
      <c r="Y21" s="3">
        <f t="shared" si="0"/>
        <v>0.33533333333333332</v>
      </c>
    </row>
    <row r="22" spans="1:25" x14ac:dyDescent="0.25">
      <c r="A22" s="6"/>
      <c r="B22" s="1" t="s">
        <v>10</v>
      </c>
      <c r="C22" s="3">
        <v>0.44900000000000001</v>
      </c>
      <c r="D22" s="3">
        <v>0.38600000000000001</v>
      </c>
      <c r="E22" s="3">
        <v>0.443</v>
      </c>
      <c r="F22" s="3">
        <v>0.378</v>
      </c>
      <c r="G22" s="3">
        <v>0.443</v>
      </c>
      <c r="H22" s="3">
        <v>0.376</v>
      </c>
      <c r="I22" s="3">
        <v>0.44500000000000001</v>
      </c>
      <c r="J22" s="3">
        <v>0.376</v>
      </c>
      <c r="K22" s="3">
        <v>0.44500000000000001</v>
      </c>
      <c r="L22" s="3">
        <v>0.379</v>
      </c>
      <c r="N22" s="6"/>
      <c r="O22" s="1" t="s">
        <v>10</v>
      </c>
      <c r="P22" s="3">
        <v>1.105</v>
      </c>
      <c r="Q22" s="3">
        <v>1.748</v>
      </c>
      <c r="R22" s="3">
        <v>1.151</v>
      </c>
      <c r="S22" s="3">
        <v>1.8740000000000001</v>
      </c>
      <c r="T22" s="3">
        <v>1.1719999999999999</v>
      </c>
      <c r="U22" s="3">
        <v>1.9430000000000001</v>
      </c>
      <c r="V22" s="3" t="s">
        <v>21</v>
      </c>
      <c r="W22" s="3" t="s">
        <v>21</v>
      </c>
      <c r="X22" s="3">
        <f t="shared" si="0"/>
        <v>1.1426666666666667</v>
      </c>
      <c r="Y22" s="3">
        <f t="shared" si="0"/>
        <v>1.8549999999999998</v>
      </c>
    </row>
    <row r="23" spans="1:25" x14ac:dyDescent="0.25">
      <c r="A23" s="6"/>
      <c r="B23" s="1" t="s">
        <v>11</v>
      </c>
      <c r="C23" s="3">
        <v>0.36799999999999999</v>
      </c>
      <c r="D23" s="3">
        <v>0.27400000000000002</v>
      </c>
      <c r="E23" s="3">
        <v>0.38600000000000001</v>
      </c>
      <c r="F23" s="3">
        <v>0.29599999999999999</v>
      </c>
      <c r="G23" s="3">
        <v>0.39400000000000002</v>
      </c>
      <c r="H23" s="3">
        <v>0.3</v>
      </c>
      <c r="I23" s="3">
        <v>0.439</v>
      </c>
      <c r="J23" s="3">
        <v>0.373</v>
      </c>
      <c r="K23" s="3">
        <v>0.39700000000000002</v>
      </c>
      <c r="L23" s="3">
        <v>0.311</v>
      </c>
      <c r="N23" s="6"/>
      <c r="O23" s="1" t="s">
        <v>11</v>
      </c>
      <c r="P23" s="3">
        <v>0.752</v>
      </c>
      <c r="Q23" s="3">
        <v>0.84699999999999998</v>
      </c>
      <c r="R23" s="3">
        <v>0.89500000000000002</v>
      </c>
      <c r="S23" s="3">
        <v>1.204</v>
      </c>
      <c r="T23" s="3">
        <v>1.036</v>
      </c>
      <c r="U23" s="3">
        <v>1.6719999999999999</v>
      </c>
      <c r="V23" s="3" t="s">
        <v>21</v>
      </c>
      <c r="W23" s="3" t="s">
        <v>21</v>
      </c>
      <c r="X23" s="3">
        <f t="shared" si="0"/>
        <v>0.89433333333333331</v>
      </c>
      <c r="Y23" s="3">
        <f t="shared" si="0"/>
        <v>1.2409999999999999</v>
      </c>
    </row>
    <row r="24" spans="1:25" x14ac:dyDescent="0.25">
      <c r="A24" s="6"/>
      <c r="B24" s="1" t="s">
        <v>12</v>
      </c>
      <c r="C24" s="3">
        <v>0.308</v>
      </c>
      <c r="D24" s="3">
        <v>0.193</v>
      </c>
      <c r="E24" s="3">
        <v>0.315</v>
      </c>
      <c r="F24" s="3">
        <v>0.20100000000000001</v>
      </c>
      <c r="G24" s="3">
        <v>0.32900000000000001</v>
      </c>
      <c r="H24" s="3">
        <v>0.214</v>
      </c>
      <c r="I24" s="3">
        <v>0.35499999999999998</v>
      </c>
      <c r="J24" s="3">
        <v>0.246</v>
      </c>
      <c r="K24" s="3">
        <v>0.32700000000000001</v>
      </c>
      <c r="L24" s="3">
        <v>0.214</v>
      </c>
      <c r="N24" s="6"/>
      <c r="O24" s="1" t="s">
        <v>12</v>
      </c>
      <c r="P24" s="3">
        <v>0.27800000000000002</v>
      </c>
      <c r="Q24" s="3">
        <v>0.14799999999999999</v>
      </c>
      <c r="R24" s="3">
        <v>0.38</v>
      </c>
      <c r="S24" s="3">
        <v>0.27100000000000002</v>
      </c>
      <c r="T24" s="3">
        <v>0.5</v>
      </c>
      <c r="U24" s="3">
        <v>0.46</v>
      </c>
      <c r="V24" s="3" t="s">
        <v>21</v>
      </c>
      <c r="W24" s="3" t="s">
        <v>21</v>
      </c>
      <c r="X24" s="3">
        <f t="shared" si="0"/>
        <v>0.38599999999999995</v>
      </c>
      <c r="Y24" s="3">
        <f t="shared" si="0"/>
        <v>0.29299999999999998</v>
      </c>
    </row>
    <row r="25" spans="1:25" x14ac:dyDescent="0.25">
      <c r="A25" s="6"/>
      <c r="B25" s="1" t="s">
        <v>13</v>
      </c>
      <c r="C25" s="3">
        <v>0.27300000000000002</v>
      </c>
      <c r="D25" s="3">
        <v>0.16900000000000001</v>
      </c>
      <c r="E25" s="3">
        <v>0.28599999999999998</v>
      </c>
      <c r="F25" s="3">
        <v>0.182</v>
      </c>
      <c r="G25" s="3">
        <v>0.30399999999999999</v>
      </c>
      <c r="H25" s="3">
        <v>0.2</v>
      </c>
      <c r="I25" s="3">
        <v>0.32100000000000001</v>
      </c>
      <c r="J25" s="3">
        <v>0.222</v>
      </c>
      <c r="K25" s="3">
        <v>0.29599999999999999</v>
      </c>
      <c r="L25" s="3">
        <v>0.193</v>
      </c>
      <c r="N25" s="6"/>
      <c r="O25" s="1" t="s">
        <v>13</v>
      </c>
      <c r="P25" s="3">
        <v>0.23699999999999999</v>
      </c>
      <c r="Q25" s="3">
        <v>0.111</v>
      </c>
      <c r="R25" s="3">
        <v>0.33500000000000002</v>
      </c>
      <c r="S25" s="3">
        <v>0.219</v>
      </c>
      <c r="T25" s="3">
        <v>0.47599999999999998</v>
      </c>
      <c r="U25" s="3">
        <v>0.42099999999999999</v>
      </c>
      <c r="V25" s="3" t="s">
        <v>21</v>
      </c>
      <c r="W25" s="3" t="s">
        <v>21</v>
      </c>
      <c r="X25" s="3">
        <f t="shared" si="0"/>
        <v>0.34933333333333333</v>
      </c>
      <c r="Y25" s="3">
        <f t="shared" si="0"/>
        <v>0.25033333333333335</v>
      </c>
    </row>
    <row r="26" spans="1:25" x14ac:dyDescent="0.25">
      <c r="A26" s="6"/>
      <c r="B26" s="1" t="s">
        <v>14</v>
      </c>
      <c r="C26" s="3">
        <v>0.30399999999999999</v>
      </c>
      <c r="D26" s="3">
        <v>0.187</v>
      </c>
      <c r="E26" s="3">
        <v>0.315</v>
      </c>
      <c r="F26" s="3">
        <v>0.19900000000000001</v>
      </c>
      <c r="G26" s="3">
        <v>0.32900000000000001</v>
      </c>
      <c r="H26" s="3">
        <v>0.21199999999999999</v>
      </c>
      <c r="I26" s="3">
        <v>0.34499999999999997</v>
      </c>
      <c r="J26" s="3">
        <v>0.23300000000000001</v>
      </c>
      <c r="K26" s="3">
        <v>0.32300000000000001</v>
      </c>
      <c r="L26" s="3">
        <v>0.20799999999999999</v>
      </c>
      <c r="N26" s="6"/>
      <c r="O26" s="1" t="s">
        <v>14</v>
      </c>
      <c r="P26" s="3">
        <v>0.20399999999999999</v>
      </c>
      <c r="Q26" s="3">
        <v>8.5000000000000006E-2</v>
      </c>
      <c r="R26" s="3">
        <v>0.30299999999999999</v>
      </c>
      <c r="S26" s="3">
        <v>0.182</v>
      </c>
      <c r="T26" s="3">
        <v>0.42799999999999999</v>
      </c>
      <c r="U26" s="3">
        <v>0.34799999999999998</v>
      </c>
      <c r="V26" s="3" t="s">
        <v>21</v>
      </c>
      <c r="W26" s="3" t="s">
        <v>21</v>
      </c>
      <c r="X26" s="3">
        <f t="shared" si="0"/>
        <v>0.3116666666666667</v>
      </c>
      <c r="Y26" s="3">
        <f t="shared" si="0"/>
        <v>0.20499999999999999</v>
      </c>
    </row>
    <row r="27" spans="1:25" x14ac:dyDescent="0.25">
      <c r="A27" s="6"/>
      <c r="B27" s="1" t="s">
        <v>15</v>
      </c>
      <c r="C27" s="3">
        <v>0.307</v>
      </c>
      <c r="D27" s="3">
        <v>0.20699999999999999</v>
      </c>
      <c r="E27" s="3">
        <v>0.316</v>
      </c>
      <c r="F27" s="3">
        <v>0.21299999999999999</v>
      </c>
      <c r="G27" s="3">
        <v>0.33300000000000002</v>
      </c>
      <c r="H27" s="3">
        <v>0.23</v>
      </c>
      <c r="I27" s="3">
        <v>0.36</v>
      </c>
      <c r="J27" s="3">
        <v>0.26500000000000001</v>
      </c>
      <c r="K27" s="3">
        <v>0.32900000000000001</v>
      </c>
      <c r="L27" s="3">
        <v>0.22900000000000001</v>
      </c>
      <c r="N27" s="6"/>
      <c r="O27" s="1" t="s">
        <v>15</v>
      </c>
      <c r="P27" s="3">
        <v>0.26200000000000001</v>
      </c>
      <c r="Q27" s="3">
        <v>0.11600000000000001</v>
      </c>
      <c r="R27" s="3">
        <v>0.35899999999999999</v>
      </c>
      <c r="S27" s="3">
        <v>0.215</v>
      </c>
      <c r="T27" s="3">
        <v>0.46600000000000003</v>
      </c>
      <c r="U27" s="3">
        <v>0.377</v>
      </c>
      <c r="V27" s="3" t="s">
        <v>21</v>
      </c>
      <c r="W27" s="3" t="s">
        <v>21</v>
      </c>
      <c r="X27" s="3">
        <f t="shared" si="0"/>
        <v>0.36233333333333334</v>
      </c>
      <c r="Y27" s="3">
        <f t="shared" si="0"/>
        <v>0.23599999999999999</v>
      </c>
    </row>
    <row r="28" spans="1:25" x14ac:dyDescent="0.25">
      <c r="A28" s="6"/>
      <c r="B28" s="1" t="s">
        <v>16</v>
      </c>
      <c r="C28" s="3">
        <v>0.39200000000000002</v>
      </c>
      <c r="D28" s="3">
        <v>0.3</v>
      </c>
      <c r="E28" s="3">
        <v>0.39</v>
      </c>
      <c r="F28" s="3">
        <v>0.29699999999999999</v>
      </c>
      <c r="G28" s="3">
        <v>0.40300000000000002</v>
      </c>
      <c r="H28" s="3">
        <v>0.317</v>
      </c>
      <c r="I28" s="3">
        <v>0.41699999999999998</v>
      </c>
      <c r="J28" s="3">
        <v>0.33800000000000002</v>
      </c>
      <c r="K28" s="3">
        <v>0.40100000000000002</v>
      </c>
      <c r="L28" s="3">
        <v>0.313</v>
      </c>
      <c r="N28" s="6"/>
      <c r="O28" s="1" t="s">
        <v>16</v>
      </c>
      <c r="P28" s="3">
        <v>0.47399999999999998</v>
      </c>
      <c r="Q28" s="3">
        <v>0.39500000000000002</v>
      </c>
      <c r="R28" s="3">
        <v>0.69799999999999995</v>
      </c>
      <c r="S28" s="3">
        <v>0.77600000000000002</v>
      </c>
      <c r="T28" s="3">
        <v>0.79700000000000004</v>
      </c>
      <c r="U28" s="3">
        <v>1.0289999999999999</v>
      </c>
      <c r="V28" s="3" t="s">
        <v>21</v>
      </c>
      <c r="W28" s="3" t="s">
        <v>21</v>
      </c>
      <c r="X28" s="3">
        <f t="shared" si="0"/>
        <v>0.65633333333333332</v>
      </c>
      <c r="Y28" s="3">
        <f t="shared" si="0"/>
        <v>0.73333333333333339</v>
      </c>
    </row>
    <row r="29" spans="1:25" x14ac:dyDescent="0.25">
      <c r="A29" s="6"/>
      <c r="B29" s="1" t="s">
        <v>17</v>
      </c>
      <c r="C29" s="3">
        <v>0.28199999999999997</v>
      </c>
      <c r="D29" s="3">
        <v>0.19700000000000001</v>
      </c>
      <c r="E29" s="3">
        <v>0.28499999999999998</v>
      </c>
      <c r="F29" s="3">
        <v>0.19600000000000001</v>
      </c>
      <c r="G29" s="3">
        <v>0.30099999999999999</v>
      </c>
      <c r="H29" s="3">
        <v>0.20899999999999999</v>
      </c>
      <c r="I29" s="3">
        <v>0.33300000000000002</v>
      </c>
      <c r="J29" s="3">
        <v>0.245</v>
      </c>
      <c r="K29" s="3">
        <v>0.3</v>
      </c>
      <c r="L29" s="3">
        <v>0.21199999999999999</v>
      </c>
      <c r="N29" s="6"/>
      <c r="O29" s="1" t="s">
        <v>17</v>
      </c>
      <c r="P29" s="3">
        <v>0.218</v>
      </c>
      <c r="Q29" s="3">
        <v>8.7999999999999995E-2</v>
      </c>
      <c r="R29" s="3">
        <v>0.315</v>
      </c>
      <c r="S29" s="3">
        <v>0.17599999999999999</v>
      </c>
      <c r="T29" s="3">
        <v>0.42699999999999999</v>
      </c>
      <c r="U29" s="3">
        <v>0.313</v>
      </c>
      <c r="V29" s="3" t="s">
        <v>21</v>
      </c>
      <c r="W29" s="3" t="s">
        <v>21</v>
      </c>
      <c r="X29" s="3">
        <f t="shared" si="0"/>
        <v>0.32</v>
      </c>
      <c r="Y29" s="3">
        <f t="shared" si="0"/>
        <v>0.19233333333333333</v>
      </c>
    </row>
    <row r="30" spans="1:25" x14ac:dyDescent="0.25">
      <c r="A30" s="6"/>
      <c r="B30" s="1" t="s">
        <v>18</v>
      </c>
      <c r="C30" s="3">
        <v>0.27200000000000002</v>
      </c>
      <c r="D30" s="3">
        <v>0.16800000000000001</v>
      </c>
      <c r="E30" s="3">
        <v>0.28899999999999998</v>
      </c>
      <c r="F30" s="3">
        <v>0.184</v>
      </c>
      <c r="G30" s="3">
        <v>0.3</v>
      </c>
      <c r="H30" s="3">
        <v>0.19800000000000001</v>
      </c>
      <c r="I30" s="3">
        <v>0.32</v>
      </c>
      <c r="J30" s="3">
        <v>0.22</v>
      </c>
      <c r="K30" s="3">
        <v>0.29499999999999998</v>
      </c>
      <c r="L30" s="3">
        <v>0.192</v>
      </c>
      <c r="N30" s="6"/>
      <c r="O30" s="1" t="s">
        <v>18</v>
      </c>
      <c r="P30" s="3">
        <v>0.23400000000000001</v>
      </c>
      <c r="Q30" s="3">
        <v>0.107</v>
      </c>
      <c r="R30" s="3">
        <v>0.34399999999999997</v>
      </c>
      <c r="S30" s="3">
        <v>0.22600000000000001</v>
      </c>
      <c r="T30" s="3">
        <v>0.44800000000000001</v>
      </c>
      <c r="U30" s="3">
        <v>0.36699999999999999</v>
      </c>
      <c r="V30" s="3" t="s">
        <v>21</v>
      </c>
      <c r="W30" s="3" t="s">
        <v>21</v>
      </c>
      <c r="X30" s="3">
        <f t="shared" si="0"/>
        <v>0.34200000000000003</v>
      </c>
      <c r="Y30" s="3">
        <f t="shared" si="0"/>
        <v>0.23333333333333331</v>
      </c>
    </row>
    <row r="31" spans="1:25" x14ac:dyDescent="0.25">
      <c r="A31" s="6"/>
      <c r="B31" s="1" t="s">
        <v>19</v>
      </c>
      <c r="C31" s="4">
        <v>0.23746</v>
      </c>
      <c r="D31" s="4">
        <v>0.14824999999999999</v>
      </c>
      <c r="E31" s="4">
        <v>0.25672</v>
      </c>
      <c r="F31" s="4">
        <v>0.17088999999999999</v>
      </c>
      <c r="G31" s="4">
        <v>0.26573000000000002</v>
      </c>
      <c r="H31" s="4">
        <v>0.17305999999999999</v>
      </c>
      <c r="I31" s="4">
        <v>0.29532000000000003</v>
      </c>
      <c r="J31" s="4">
        <v>0.20587</v>
      </c>
      <c r="K31" s="4">
        <f>AVERAGE(C31,E31,G31,I31)</f>
        <v>0.26380750000000003</v>
      </c>
      <c r="L31" s="4">
        <f>AVERAGE(D31,F31,H31,J31)</f>
        <v>0.17451749999999999</v>
      </c>
      <c r="N31" s="6"/>
      <c r="O31" s="1" t="s">
        <v>19</v>
      </c>
      <c r="P31" s="4">
        <v>0.20876</v>
      </c>
      <c r="Q31" s="4">
        <v>8.4589999999999999E-2</v>
      </c>
      <c r="R31" s="4">
        <v>0.30023</v>
      </c>
      <c r="S31" s="4">
        <v>0.16667999999999999</v>
      </c>
      <c r="T31" s="4">
        <v>0.36570000000000003</v>
      </c>
      <c r="U31" s="4">
        <v>0.23702999999999999</v>
      </c>
      <c r="V31" s="3" t="s">
        <v>21</v>
      </c>
      <c r="W31" s="3" t="s">
        <v>21</v>
      </c>
      <c r="X31" s="3">
        <f>AVERAGE(P31,R31,T31)</f>
        <v>0.29156333333333334</v>
      </c>
      <c r="Y31" s="3">
        <f>AVERAGE(Q31,S31,U31)</f>
        <v>0.16276666666666664</v>
      </c>
    </row>
    <row r="32" spans="1:25" x14ac:dyDescent="0.25">
      <c r="I32" s="2"/>
      <c r="K32" s="2"/>
    </row>
    <row r="33" spans="1:25" x14ac:dyDescent="0.25">
      <c r="A33" s="6" t="s">
        <v>23</v>
      </c>
      <c r="B33" s="1" t="s">
        <v>5</v>
      </c>
      <c r="C33" s="3">
        <v>0.45300000000000001</v>
      </c>
      <c r="D33" s="3">
        <v>0.84299999999999997</v>
      </c>
      <c r="E33" s="3">
        <v>0.45300000000000001</v>
      </c>
      <c r="F33" s="3">
        <v>0.84699999999999998</v>
      </c>
      <c r="G33" s="3">
        <v>0.45500000000000002</v>
      </c>
      <c r="H33" s="3">
        <v>0.85299999999999998</v>
      </c>
      <c r="I33" s="3">
        <v>0.80500000000000005</v>
      </c>
      <c r="J33" s="3">
        <v>1.5</v>
      </c>
      <c r="K33" s="3">
        <v>0.54100000000000004</v>
      </c>
      <c r="L33" s="3">
        <v>1.0109999999999999</v>
      </c>
      <c r="O33" s="1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6"/>
      <c r="B34" s="1" t="s">
        <v>7</v>
      </c>
      <c r="C34" s="3">
        <v>0.38400000000000001</v>
      </c>
      <c r="D34" s="3">
        <v>0.68400000000000005</v>
      </c>
      <c r="E34" s="3">
        <v>0.39</v>
      </c>
      <c r="F34" s="3">
        <v>0.68500000000000005</v>
      </c>
      <c r="G34" s="3">
        <v>0.40799999999999997</v>
      </c>
      <c r="H34" s="3">
        <v>0.73399999999999999</v>
      </c>
      <c r="I34" s="3">
        <v>0.39600000000000002</v>
      </c>
      <c r="J34" s="3">
        <v>0.71699999999999997</v>
      </c>
      <c r="K34" s="3">
        <v>0.39500000000000002</v>
      </c>
      <c r="L34" s="3">
        <v>0.70499999999999996</v>
      </c>
      <c r="O34" s="1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6"/>
      <c r="B35" s="1" t="s">
        <v>8</v>
      </c>
      <c r="C35" s="3">
        <v>0.42299999999999999</v>
      </c>
      <c r="D35" s="3">
        <v>0.73199999999999998</v>
      </c>
      <c r="E35" s="3">
        <v>0.42</v>
      </c>
      <c r="F35" s="3">
        <v>0.73299999999999998</v>
      </c>
      <c r="G35" s="3">
        <v>0.42</v>
      </c>
      <c r="H35" s="3">
        <v>0.74199999999999999</v>
      </c>
      <c r="I35" s="3">
        <v>0.42299999999999999</v>
      </c>
      <c r="J35" s="3">
        <v>0.755</v>
      </c>
      <c r="K35" s="3">
        <v>0.42199999999999999</v>
      </c>
      <c r="L35" s="3">
        <v>0.74099999999999999</v>
      </c>
      <c r="O35" s="1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6"/>
      <c r="B36" s="1" t="s">
        <v>9</v>
      </c>
      <c r="C36" s="3">
        <v>0.38800000000000001</v>
      </c>
      <c r="D36" s="3">
        <v>0.61299999999999999</v>
      </c>
      <c r="E36" s="3">
        <v>0.38200000000000001</v>
      </c>
      <c r="F36" s="3">
        <v>0.61599999999999999</v>
      </c>
      <c r="G36" s="3">
        <v>0.33700000000000002</v>
      </c>
      <c r="H36" s="3">
        <v>0.622</v>
      </c>
      <c r="I36" s="3">
        <v>0.40799999999999997</v>
      </c>
      <c r="J36" s="3">
        <v>0.66</v>
      </c>
      <c r="K36" s="3">
        <v>0.379</v>
      </c>
      <c r="L36" s="3">
        <v>0.628</v>
      </c>
      <c r="O36" s="1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6"/>
      <c r="B37" s="1" t="s">
        <v>10</v>
      </c>
      <c r="C37" s="3">
        <v>0.46800000000000003</v>
      </c>
      <c r="D37" s="3">
        <v>0.86699999999999999</v>
      </c>
      <c r="E37" s="3">
        <v>0.46700000000000003</v>
      </c>
      <c r="F37" s="3">
        <v>0.86899999999999999</v>
      </c>
      <c r="G37" s="3">
        <v>0.46899999999999997</v>
      </c>
      <c r="H37" s="3">
        <v>0.88100000000000001</v>
      </c>
      <c r="I37" s="3">
        <v>0.47299999999999998</v>
      </c>
      <c r="J37" s="3">
        <v>0.89600000000000002</v>
      </c>
      <c r="K37" s="3">
        <v>0.46899999999999997</v>
      </c>
      <c r="L37" s="3">
        <v>0.878</v>
      </c>
      <c r="O37" s="1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6"/>
      <c r="B38" s="1" t="s">
        <v>11</v>
      </c>
      <c r="C38" s="3">
        <v>0.39100000000000001</v>
      </c>
      <c r="D38" s="3">
        <v>0.71899999999999997</v>
      </c>
      <c r="E38" s="3">
        <v>0.379</v>
      </c>
      <c r="F38" s="3">
        <v>0.69599999999999995</v>
      </c>
      <c r="G38" s="3">
        <v>0.42</v>
      </c>
      <c r="H38" s="3">
        <v>0.77700000000000002</v>
      </c>
      <c r="I38" s="3">
        <v>0.47199999999999998</v>
      </c>
      <c r="J38" s="3">
        <v>0.86399999999999999</v>
      </c>
      <c r="K38" s="3">
        <v>0.41599999999999998</v>
      </c>
      <c r="L38" s="3">
        <v>0.76400000000000001</v>
      </c>
      <c r="O38" s="1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6"/>
      <c r="B39" s="1" t="s">
        <v>12</v>
      </c>
      <c r="C39" s="3">
        <v>0.36599999999999999</v>
      </c>
      <c r="D39" s="3">
        <v>0.58699999999999997</v>
      </c>
      <c r="E39" s="3">
        <v>0.373</v>
      </c>
      <c r="F39" s="3">
        <v>0.60399999999999998</v>
      </c>
      <c r="G39" s="3">
        <v>0.38300000000000001</v>
      </c>
      <c r="H39" s="3">
        <v>0.621</v>
      </c>
      <c r="I39" s="3">
        <v>0.38200000000000001</v>
      </c>
      <c r="J39" s="3">
        <v>0.626</v>
      </c>
      <c r="K39" s="3">
        <v>0.376</v>
      </c>
      <c r="L39" s="3">
        <v>0.61</v>
      </c>
      <c r="O39" s="1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6"/>
      <c r="B40" s="1" t="s">
        <v>13</v>
      </c>
      <c r="C40" s="3">
        <v>0.33800000000000002</v>
      </c>
      <c r="D40" s="3">
        <v>0.61199999999999999</v>
      </c>
      <c r="E40" s="3">
        <v>0.34</v>
      </c>
      <c r="F40" s="3">
        <v>0.61299999999999999</v>
      </c>
      <c r="G40" s="3">
        <v>0.32800000000000001</v>
      </c>
      <c r="H40" s="3">
        <v>0.61799999999999999</v>
      </c>
      <c r="I40" s="3">
        <v>0.35499999999999998</v>
      </c>
      <c r="J40" s="3">
        <v>0.65300000000000002</v>
      </c>
      <c r="K40" s="3">
        <v>0.34</v>
      </c>
      <c r="L40" s="3">
        <v>0.624</v>
      </c>
      <c r="O40" s="1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6"/>
      <c r="B41" s="1" t="s">
        <v>14</v>
      </c>
      <c r="C41" s="3">
        <v>0.39200000000000002</v>
      </c>
      <c r="D41" s="3">
        <v>0.60699999999999998</v>
      </c>
      <c r="E41" s="3">
        <v>0.39900000000000002</v>
      </c>
      <c r="F41" s="3">
        <v>0.621</v>
      </c>
      <c r="G41" s="3">
        <v>0.39600000000000002</v>
      </c>
      <c r="H41" s="3">
        <v>0.622</v>
      </c>
      <c r="I41" s="3">
        <v>0.39600000000000002</v>
      </c>
      <c r="J41" s="3">
        <v>0.63200000000000001</v>
      </c>
      <c r="K41" s="3">
        <v>0.39600000000000002</v>
      </c>
      <c r="L41" s="3">
        <v>0.621</v>
      </c>
      <c r="O41" s="1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6"/>
      <c r="B42" s="1" t="s">
        <v>15</v>
      </c>
      <c r="C42" s="3">
        <v>0.39100000000000001</v>
      </c>
      <c r="D42" s="3">
        <v>0.61499999999999999</v>
      </c>
      <c r="E42" s="3">
        <v>0.38200000000000001</v>
      </c>
      <c r="F42" s="3">
        <v>0.60099999999999998</v>
      </c>
      <c r="G42" s="3">
        <v>0.38600000000000001</v>
      </c>
      <c r="H42" s="3">
        <v>0.61299999999999999</v>
      </c>
      <c r="I42" s="3">
        <v>0.40699999999999997</v>
      </c>
      <c r="J42" s="3">
        <v>0.65800000000000003</v>
      </c>
      <c r="K42" s="3">
        <v>0.39200000000000002</v>
      </c>
      <c r="L42" s="3">
        <v>0.622</v>
      </c>
      <c r="O42" s="1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6"/>
      <c r="B43" s="1" t="s">
        <v>16</v>
      </c>
      <c r="C43" s="3">
        <v>0.436</v>
      </c>
      <c r="D43" s="3">
        <v>0.79800000000000004</v>
      </c>
      <c r="E43" s="3">
        <v>0.48099999999999998</v>
      </c>
      <c r="F43" s="3">
        <v>0.84899999999999998</v>
      </c>
      <c r="G43" s="3">
        <v>0.47599999999999998</v>
      </c>
      <c r="H43" s="3">
        <v>0.82799999999999996</v>
      </c>
      <c r="I43" s="3">
        <v>0.48899999999999999</v>
      </c>
      <c r="J43" s="3">
        <v>0.85399999999999998</v>
      </c>
      <c r="K43" s="3">
        <v>0.47099999999999997</v>
      </c>
      <c r="L43" s="3">
        <v>0.83199999999999996</v>
      </c>
      <c r="O43" s="1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6"/>
      <c r="B44" s="1" t="s">
        <v>17</v>
      </c>
      <c r="C44" s="3">
        <v>0.39600000000000002</v>
      </c>
      <c r="D44" s="3">
        <v>0.65</v>
      </c>
      <c r="E44" s="3">
        <v>0.37</v>
      </c>
      <c r="F44" s="3">
        <v>0.59799999999999998</v>
      </c>
      <c r="G44" s="3">
        <v>0.373</v>
      </c>
      <c r="H44" s="3">
        <v>0.60499999999999998</v>
      </c>
      <c r="I44" s="3">
        <v>0.39400000000000002</v>
      </c>
      <c r="J44" s="3">
        <v>0.64500000000000002</v>
      </c>
      <c r="K44" s="3">
        <v>0.38300000000000001</v>
      </c>
      <c r="L44" s="3">
        <v>0.625</v>
      </c>
      <c r="O44" s="1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6"/>
      <c r="B45" s="1" t="s">
        <v>18</v>
      </c>
      <c r="C45" s="3">
        <v>0.32100000000000001</v>
      </c>
      <c r="D45" s="3">
        <v>0.59299999999999997</v>
      </c>
      <c r="E45" s="3">
        <v>0.33600000000000002</v>
      </c>
      <c r="F45" s="3">
        <v>0.61699999999999999</v>
      </c>
      <c r="G45" s="3">
        <v>0.33600000000000002</v>
      </c>
      <c r="H45" s="3">
        <v>0.629</v>
      </c>
      <c r="I45" s="3">
        <v>0.35</v>
      </c>
      <c r="J45" s="3">
        <v>0.64</v>
      </c>
      <c r="K45" s="3">
        <v>0.33600000000000002</v>
      </c>
      <c r="L45" s="3">
        <v>0.62</v>
      </c>
      <c r="O45" s="1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6"/>
      <c r="B46" s="1" t="s">
        <v>19</v>
      </c>
      <c r="C46" s="4">
        <v>0.28750999999999999</v>
      </c>
      <c r="D46" s="4">
        <v>0.50377000000000005</v>
      </c>
      <c r="E46" s="4">
        <v>0.29019</v>
      </c>
      <c r="F46" s="4">
        <v>0.49807000000000001</v>
      </c>
      <c r="G46" s="4">
        <v>0.29731000000000002</v>
      </c>
      <c r="H46" s="4">
        <v>0.51288999999999996</v>
      </c>
      <c r="I46" s="4">
        <v>0.33313999999999999</v>
      </c>
      <c r="J46" s="4">
        <v>0.56867000000000001</v>
      </c>
      <c r="K46" s="4">
        <f>AVERAGE(C46,E46,G46,I46)</f>
        <v>0.30203750000000001</v>
      </c>
      <c r="L46" s="4">
        <f>AVERAGE(D46,F46,H46,J46)</f>
        <v>0.52085000000000004</v>
      </c>
      <c r="O46" s="1"/>
    </row>
    <row r="47" spans="1:25" x14ac:dyDescent="0.25">
      <c r="I47" s="2"/>
      <c r="K47" s="2"/>
    </row>
    <row r="48" spans="1:25" x14ac:dyDescent="0.25">
      <c r="I48" s="2"/>
      <c r="K48" s="2"/>
    </row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80" spans="7:17" x14ac:dyDescent="0.25"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9:16" x14ac:dyDescent="0.25">
      <c r="I81" s="2"/>
      <c r="K81" s="2"/>
      <c r="N81" s="1"/>
      <c r="P81" s="1"/>
    </row>
    <row r="82" spans="9:16" x14ac:dyDescent="0.25">
      <c r="I82" s="2"/>
      <c r="K82" s="2"/>
      <c r="N82" s="1"/>
      <c r="P82" s="1"/>
    </row>
    <row r="83" spans="9:16" x14ac:dyDescent="0.25">
      <c r="I83" s="2"/>
      <c r="K83" s="2"/>
      <c r="N83" s="1"/>
      <c r="P83" s="1"/>
    </row>
    <row r="84" spans="9:16" x14ac:dyDescent="0.25">
      <c r="I84" s="2"/>
      <c r="K84" s="2"/>
      <c r="N84" s="1"/>
      <c r="P84" s="1"/>
    </row>
    <row r="85" spans="9:16" x14ac:dyDescent="0.25">
      <c r="I85" s="2"/>
      <c r="K85" s="2"/>
      <c r="N85" s="1"/>
      <c r="P85" s="1"/>
    </row>
    <row r="86" spans="9:16" x14ac:dyDescent="0.25">
      <c r="I86" s="2"/>
      <c r="K86" s="2"/>
      <c r="N86" s="1"/>
      <c r="P86" s="1"/>
    </row>
    <row r="87" spans="9:16" x14ac:dyDescent="0.25">
      <c r="I87" s="2"/>
      <c r="K87" s="2"/>
      <c r="N87" s="1"/>
      <c r="P87" s="1"/>
    </row>
    <row r="88" spans="9:16" x14ac:dyDescent="0.25">
      <c r="I88" s="2"/>
      <c r="K88" s="2"/>
      <c r="N88" s="1"/>
      <c r="P88" s="1"/>
    </row>
    <row r="89" spans="9:16" x14ac:dyDescent="0.25">
      <c r="I89" s="2"/>
      <c r="K89" s="2"/>
      <c r="N89" s="1"/>
      <c r="P89" s="1"/>
    </row>
    <row r="90" spans="9:16" x14ac:dyDescent="0.25">
      <c r="I90" s="2"/>
      <c r="K90" s="2"/>
      <c r="N90" s="1"/>
      <c r="P90" s="1"/>
    </row>
    <row r="91" spans="9:16" x14ac:dyDescent="0.25">
      <c r="I91" s="2"/>
      <c r="K91" s="2"/>
      <c r="N91" s="1"/>
      <c r="P91" s="1"/>
    </row>
    <row r="92" spans="9:16" x14ac:dyDescent="0.25">
      <c r="I92" s="2"/>
      <c r="K92" s="2"/>
      <c r="N92" s="1"/>
      <c r="P92" s="1"/>
    </row>
    <row r="93" spans="9:16" x14ac:dyDescent="0.25">
      <c r="I93" s="2"/>
      <c r="K93" s="2"/>
      <c r="N93" s="1"/>
      <c r="P93" s="1"/>
    </row>
    <row r="94" spans="9:16" x14ac:dyDescent="0.25">
      <c r="I94" s="2"/>
      <c r="K94" s="2"/>
      <c r="N94" s="1"/>
      <c r="P94" s="1"/>
    </row>
    <row r="95" spans="9:16" x14ac:dyDescent="0.25">
      <c r="I95" s="2"/>
      <c r="K95" s="2"/>
      <c r="N95" s="1"/>
      <c r="P95" s="1"/>
    </row>
    <row r="96" spans="9:16" x14ac:dyDescent="0.25">
      <c r="I96" s="2"/>
      <c r="K96" s="2"/>
      <c r="N96" s="1"/>
      <c r="P96" s="1"/>
    </row>
  </sheetData>
  <mergeCells count="15">
    <mergeCell ref="P2:Q2"/>
    <mergeCell ref="R2:S2"/>
    <mergeCell ref="T2:U2"/>
    <mergeCell ref="V2:W2"/>
    <mergeCell ref="X2:Y2"/>
    <mergeCell ref="N3:N16"/>
    <mergeCell ref="N18:N31"/>
    <mergeCell ref="C2:D2"/>
    <mergeCell ref="E2:F2"/>
    <mergeCell ref="G2:H2"/>
    <mergeCell ref="I2:J2"/>
    <mergeCell ref="K2:L2"/>
    <mergeCell ref="A33:A46"/>
    <mergeCell ref="A18:A31"/>
    <mergeCell ref="A3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2024-07-05T10:45:29Z</dcterms:created>
  <dcterms:modified xsi:type="dcterms:W3CDTF">2024-07-05T11:03:44Z</dcterms:modified>
</cp:coreProperties>
</file>